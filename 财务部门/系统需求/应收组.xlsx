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XWork\1688857809349078\Cache\File\2026-09\"/>
    </mc:Choice>
  </mc:AlternateContent>
  <bookViews>
    <workbookView windowWidth="27945" windowHeight="12375"/>
  </bookViews>
  <sheets>
    <sheet name="需求汇总表" sheetId="1" r:id="rId1"/>
    <sheet name="自动开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D3E7035BDE84BC79273BF8BFFF021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96100" y="304800"/>
          <a:ext cx="16068675" cy="5153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3EC0B3500EB34F27A3FB300271D21C3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01225" y="2082800"/>
          <a:ext cx="15049500" cy="645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401739129A845B4B6C25CD116DFDB9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801225" y="2921000"/>
          <a:ext cx="14554200" cy="46196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90B04C1925934C66A50E67219DC841F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801225" y="4787900"/>
          <a:ext cx="14887575" cy="809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2D0038EE41F47559E34E06DFD2402E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01225" y="5626100"/>
          <a:ext cx="15144750" cy="41433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<sst xmlns="http://schemas.openxmlformats.org/spreadsheetml/2006/main" count="97" uniqueCount="87">
  <si>
    <t>序号</t>
  </si>
  <si>
    <t>需求</t>
  </si>
  <si>
    <t>现状描述</t>
  </si>
  <si>
    <t>需求描述</t>
  </si>
  <si>
    <t>主菜单</t>
  </si>
  <si>
    <t>页面截图</t>
  </si>
  <si>
    <t>系统自动凭证对冲</t>
  </si>
  <si>
    <t>根据水单，先手工录入系统销账，等流水导入系统，认领客户后，在收款管理页面把手工录入和系统认领的流水进行手动凭证对冲</t>
  </si>
  <si>
    <t>在系统认领完客户之后，手工录入和系统认领的流水一样的，系统能够自动对冲</t>
  </si>
  <si>
    <t>收款管理</t>
  </si>
  <si>
    <t>自动开票</t>
  </si>
  <si>
    <t>目前相同抬头的发票量增加，都一张一张开，比较花时间</t>
  </si>
  <si>
    <t>增加一个开票模版，开票系统和模版通过机器人衔接起来，对应的开票信息填入模版后，发群或者其他，机器人能够在系统能够自动开票，并有反馈是否开票成功和发票链接的表格</t>
  </si>
  <si>
    <t>各开票系统</t>
  </si>
  <si>
    <t>详见附件2，目前是基础模版，在对接之后在更新模版</t>
  </si>
  <si>
    <t>系统后增调整的费用能够导出表格</t>
  </si>
  <si>
    <t>目筛选费用时间，导出来的数据是调整后的数值，不能体现出调整的具体费用是多少</t>
  </si>
  <si>
    <t>因后加的费用中信保投保需要，针对这部分费用，系统能够导出这个明细，防止后加的费用漏报的情况</t>
  </si>
  <si>
    <t>请款单-批量请款</t>
  </si>
  <si>
    <t>业务数据统计（财务）-修改所属客户，可以批量修改</t>
  </si>
  <si>
    <t>目前业务数据统计，修改所属客户，只能一票一票修改，不能批量修改</t>
  </si>
  <si>
    <t>业务数据统计（财务）-修改所属客户</t>
  </si>
  <si>
    <t>客户锁账期按照系统最新账期来判定是否到期</t>
  </si>
  <si>
    <t>有的客户因后期更改了账期，客户还未到期，系统就锁了;系统现在按照的是更改账期之前的单号到期就锁定了，没按照最新账期去评判</t>
  </si>
  <si>
    <t>客户锁账期按照系统最新账期来判定是否到期，在进行锁账</t>
  </si>
  <si>
    <t>客户管理</t>
  </si>
  <si>
    <t>收款管理添加一列币别筛选</t>
  </si>
  <si>
    <t>目前有的客户销账是区分人民币和美金销账的，之前是一票一票搜索再选择币别销账的，比较费时间</t>
  </si>
  <si>
    <t>收款管理右下角能插入一列选择币别，对应币别单号能够筛选出来</t>
  </si>
  <si>
    <t>请款单导出账单速率提升</t>
  </si>
  <si>
    <t>目前请款单导出账单速度还是比较慢</t>
  </si>
  <si>
    <t>提高请款单导出账单速率</t>
  </si>
  <si>
    <t>请款单-新建请款-导出请款单</t>
  </si>
  <si>
    <t>业务数据统计添加2列，对应起运地和到达地</t>
  </si>
  <si>
    <t>目前开对应的拖车费，对应的起运地和到达地都要一一询问船务或者其他才知道，比较费时间</t>
  </si>
  <si>
    <t>能直接在业务数据直接看到对应起运地和到达地，目前系统车牌登记也有欠缺，需要后期对应人维护</t>
  </si>
  <si>
    <t>业务数据统计（财务）</t>
  </si>
  <si>
    <t>线上中信保操作</t>
  </si>
  <si>
    <t>目前筛选哪些客户可以投保和哪些是新增的客户，都是手工表格计算汇总，比较麻烦</t>
  </si>
  <si>
    <t>系统筛选投保名单加字段：                                1.在客户管理添加是否够买中信保字段，按月区分手工勾选确认； 加入中信保买方代码字段，统一社会信用代码字段和期限字段；                                                            2.客户管理-编辑数据中-是否签订合同中选择“是”按钮-边上跳出一列可选择签署我方抬头的字段；                            
3.客户管理-编辑数据中-加一个备注框（无合同和个人买不了）；
4.加入投保金额字段：能够体现出上个月欠款明细以及上个月后加的费用有多少</t>
  </si>
  <si>
    <t>新增投保客户申请代码：根据信保系统的中信保买方代码汇总，系统自行匹配，如果筛选出可投保的但未有代码的，则是新增客户（针对于国内客户），国外客户和香港客户需要单独再看下</t>
  </si>
  <si>
    <t>收款管理核销速率提升</t>
  </si>
  <si>
    <t>目前收款管理在核销数据较大的客户时，经常出现卡顿的现象，页面加载缓慢，影响效率</t>
  </si>
  <si>
    <t>提高收款管理在面对数据较多的客户时加载速率能提升，减少卡顿现象</t>
  </si>
  <si>
    <t>收款管理销账明细不会自动刷新</t>
  </si>
  <si>
    <t>收款管理处重新查询客户下面的销账明细不会自动刷新，还是显示上一个客户的销账明细，需要自己手动再次刷新，有时候会导致撤销成上一个客户的销账明细</t>
  </si>
  <si>
    <t>查询客户自动刷新客户的销账明细</t>
  </si>
  <si>
    <t>指定票件收款导出已核销账单可通过搜索单号导出</t>
  </si>
  <si>
    <t>目前导出已核销的账单只能通过指定票件页面筛选时间来导出，在面对指定单号导出时，只能筛选时间区域，导出的账单要重新调整，增加了繁琐的工序</t>
  </si>
  <si>
    <t>指定票件收款--应收费用明细里多增一行单号搜索栏，以便导出需求对应单号的已核销账单</t>
  </si>
  <si>
    <t>指定票件收款</t>
  </si>
  <si>
    <t>关联客户锁账付款后联动解锁</t>
  </si>
  <si>
    <t>客户做了关联企业锁账，关联公司欠款结清自动解锁后，无欠款的关联企业保持锁账状态，系统无自动联动解除关联锁账功能</t>
  </si>
  <si>
    <t>实现关联客户锁账联动解锁逻辑：企业做关联锁账时，触发锁账的那家主体结清全部欠款，关联在一起的客户同步自动解除锁账；不需要再人工逐个操作解锁。</t>
  </si>
  <si>
    <t>模版</t>
  </si>
  <si>
    <t>我方抬头</t>
  </si>
  <si>
    <t>客户推送类型</t>
  </si>
  <si>
    <t>客户简称</t>
  </si>
  <si>
    <t>名称</t>
  </si>
  <si>
    <t>纳税人识别号</t>
  </si>
  <si>
    <t>地址</t>
  </si>
  <si>
    <t>电话</t>
  </si>
  <si>
    <t>开户行及账号</t>
  </si>
  <si>
    <t>*简称*项目名称</t>
  </si>
  <si>
    <t>金额</t>
  </si>
  <si>
    <t>备注</t>
  </si>
  <si>
    <t>*简称*项目名称2</t>
  </si>
  <si>
    <t>金额2</t>
  </si>
  <si>
    <t>对应财务</t>
  </si>
  <si>
    <t>浙江腾信国际物流有限公司</t>
  </si>
  <si>
    <t>同行</t>
  </si>
  <si>
    <t>锦云国际</t>
  </si>
  <si>
    <t>义乌市锦云国际物流有限公司</t>
  </si>
  <si>
    <t>91330782MACXF8P28L</t>
  </si>
  <si>
    <t>义乌市北苑街道凌云1区65栋2单元</t>
  </si>
  <si>
    <r>
      <rPr>
        <sz val="11"/>
        <color rgb="FF000000"/>
        <rFont val="宋体"/>
        <charset val="134"/>
        <scheme val="minor"/>
      </rPr>
      <t>平安银行义乌分行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15334795220086</t>
    </r>
  </si>
  <si>
    <t>国际货物运输代理服务费</t>
  </si>
  <si>
    <t>无</t>
  </si>
  <si>
    <t>李富贵</t>
  </si>
  <si>
    <t>推送结果</t>
  </si>
  <si>
    <t>是否开票</t>
  </si>
  <si>
    <t>开票链接</t>
  </si>
  <si>
    <t>河南阿斯顿</t>
  </si>
  <si>
    <t>金益求精</t>
  </si>
  <si>
    <t>是</t>
  </si>
  <si>
    <t>开票成功</t>
  </si>
  <si>
    <t>https://of1.cn/8EjKJxfxJ2-Zi27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</si>
</sst>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SimHei"/>
      <charset val="134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pane ySplit="1" topLeftCell="A7" activePane="bottomLeft" state="frozen"/>
      <selection/>
      <selection pane="bottomLeft" activeCell="E11" sqref="E11"/>
    </sheetView>
  </sheetViews>
  <sheetFormatPr defaultColWidth="9" defaultRowHeight="13.5" outlineLevelCol="5"/>
  <cols>
    <col min="1" max="1" width="9" style="11"/>
    <col min="2" max="2" width="17.5" customWidth="1"/>
    <col min="3" max="3" width="38" customWidth="1"/>
    <col min="4" max="4" width="42.125" customWidth="1"/>
    <col min="5" max="5" width="22" style="11" customWidth="1"/>
    <col min="6" max="6" width="17.25" customWidth="1"/>
  </cols>
  <sheetData>
    <row r="1" ht="24" customHeight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ht="68" customHeight="1" spans="1:6">
      <c r="A2" s="13">
        <v>1</v>
      </c>
      <c r="B2" s="14" t="s">
        <v>6</v>
      </c>
      <c r="C2" s="15" t="s">
        <v>7</v>
      </c>
      <c r="D2" s="15" t="s">
        <v>8</v>
      </c>
      <c r="E2" s="13" t="s">
        <v>9</v>
      </c>
      <c r="F2" s="14" t="str">
        <f>_xlfn.DISPIMG("ID_DD3E7035BDE84BC79273BF8BFFF02144",1)</f>
        <v>=DISPIMG("ID_DD3E7035BDE84BC79273BF8BFFF02144",1)</v>
      </c>
    </row>
    <row r="3" ht="72" customHeight="1" spans="1:6">
      <c r="A3" s="13">
        <v>2</v>
      </c>
      <c r="B3" s="14" t="s">
        <v>10</v>
      </c>
      <c r="C3" s="15" t="s">
        <v>11</v>
      </c>
      <c r="D3" s="15" t="s">
        <v>12</v>
      </c>
      <c r="E3" s="13" t="s">
        <v>13</v>
      </c>
      <c r="F3" s="16" t="s">
        <v>14</v>
      </c>
    </row>
    <row r="4" ht="66" customHeight="1" spans="1:6">
      <c r="A4" s="13">
        <v>3</v>
      </c>
      <c r="B4" s="15" t="s">
        <v>15</v>
      </c>
      <c r="C4" s="15" t="s">
        <v>16</v>
      </c>
      <c r="D4" s="15" t="s">
        <v>17</v>
      </c>
      <c r="E4" s="13" t="s">
        <v>18</v>
      </c>
      <c r="F4" s="14" t="str">
        <f>_xlfn.DISPIMG("ID_3EC0B3500EB34F27A3FB300271D21C3B",1)</f>
        <v>=DISPIMG("ID_3EC0B3500EB34F27A3FB300271D21C3B",1)</v>
      </c>
    </row>
    <row r="5" ht="66" customHeight="1" spans="1:6">
      <c r="A5" s="13">
        <v>4</v>
      </c>
      <c r="B5" s="15" t="s">
        <v>19</v>
      </c>
      <c r="C5" s="15" t="s">
        <v>20</v>
      </c>
      <c r="D5" s="15" t="s">
        <v>19</v>
      </c>
      <c r="E5" s="16" t="s">
        <v>21</v>
      </c>
      <c r="F5" s="17" t="str">
        <f>_xlfn.DISPIMG("ID_7401739129A845B4B6C25CD116DFDB98",1)</f>
        <v>=DISPIMG("ID_7401739129A845B4B6C25CD116DFDB98",1)</v>
      </c>
    </row>
    <row r="6" ht="81" customHeight="1" spans="1:6">
      <c r="A6" s="13">
        <v>5</v>
      </c>
      <c r="B6" s="15" t="s">
        <v>22</v>
      </c>
      <c r="C6" s="15" t="s">
        <v>23</v>
      </c>
      <c r="D6" s="15" t="s">
        <v>24</v>
      </c>
      <c r="E6" s="13" t="s">
        <v>25</v>
      </c>
      <c r="F6" s="14"/>
    </row>
    <row r="7" ht="66" customHeight="1" spans="1:6">
      <c r="A7" s="13">
        <v>6</v>
      </c>
      <c r="B7" s="15" t="s">
        <v>26</v>
      </c>
      <c r="C7" s="15" t="s">
        <v>27</v>
      </c>
      <c r="D7" s="15" t="s">
        <v>28</v>
      </c>
      <c r="E7" s="13" t="s">
        <v>9</v>
      </c>
      <c r="F7" s="14" t="str">
        <f>_xlfn.DISPIMG("ID_90B04C1925934C66A50E67219DC841F9",1)</f>
        <v>=DISPIMG("ID_90B04C1925934C66A50E67219DC841F9",1)</v>
      </c>
    </row>
    <row r="8" ht="66" customHeight="1" spans="1:6">
      <c r="A8" s="13">
        <v>7</v>
      </c>
      <c r="B8" s="15" t="s">
        <v>29</v>
      </c>
      <c r="C8" s="15" t="s">
        <v>30</v>
      </c>
      <c r="D8" s="15" t="s">
        <v>31</v>
      </c>
      <c r="E8" s="16" t="s">
        <v>32</v>
      </c>
      <c r="F8" s="14" t="str">
        <f>_xlfn.DISPIMG("ID_32D0038EE41F47559E34E06DFD2402EF",1)</f>
        <v>=DISPIMG("ID_32D0038EE41F47559E34E06DFD2402EF",1)</v>
      </c>
    </row>
    <row r="9" ht="66" customHeight="1" spans="1:6">
      <c r="A9" s="13">
        <v>8</v>
      </c>
      <c r="B9" s="15" t="s">
        <v>33</v>
      </c>
      <c r="C9" s="15" t="s">
        <v>34</v>
      </c>
      <c r="D9" s="15" t="s">
        <v>35</v>
      </c>
      <c r="E9" s="16" t="s">
        <v>36</v>
      </c>
      <c r="F9" s="14"/>
    </row>
    <row r="10" ht="207" customHeight="1" spans="1:6">
      <c r="A10" s="13">
        <v>9</v>
      </c>
      <c r="B10" s="13" t="s">
        <v>37</v>
      </c>
      <c r="C10" s="16" t="s">
        <v>38</v>
      </c>
      <c r="D10" s="15" t="s">
        <v>39</v>
      </c>
      <c r="E10" s="13" t="s">
        <v>25</v>
      </c>
      <c r="F10" s="14"/>
    </row>
    <row r="11" ht="123" customHeight="1" spans="1:6">
      <c r="A11" s="13"/>
      <c r="B11" s="13"/>
      <c r="C11" s="16"/>
      <c r="D11" s="15" t="s">
        <v>40</v>
      </c>
      <c r="E11" s="13" t="s">
        <v>25</v>
      </c>
      <c r="F11" s="14"/>
    </row>
    <row r="12" ht="66" customHeight="1" spans="1:6">
      <c r="A12" s="13">
        <v>10</v>
      </c>
      <c r="B12" s="15" t="s">
        <v>41</v>
      </c>
      <c r="C12" s="15" t="s">
        <v>42</v>
      </c>
      <c r="D12" s="15" t="s">
        <v>43</v>
      </c>
      <c r="E12" s="16" t="s">
        <v>9</v>
      </c>
      <c r="F12" s="14"/>
    </row>
    <row r="13" ht="79" customHeight="1" spans="1:6">
      <c r="A13" s="13">
        <v>11</v>
      </c>
      <c r="B13" s="15" t="s">
        <v>44</v>
      </c>
      <c r="C13" s="15" t="s">
        <v>45</v>
      </c>
      <c r="D13" s="15" t="s">
        <v>46</v>
      </c>
      <c r="E13" s="16" t="s">
        <v>9</v>
      </c>
      <c r="F13" s="14"/>
    </row>
    <row r="14" ht="84" customHeight="1" spans="1:6">
      <c r="A14" s="13">
        <v>12</v>
      </c>
      <c r="B14" s="15" t="s">
        <v>47</v>
      </c>
      <c r="C14" s="15" t="s">
        <v>48</v>
      </c>
      <c r="D14" s="15" t="s">
        <v>49</v>
      </c>
      <c r="E14" s="16" t="s">
        <v>50</v>
      </c>
      <c r="F14" s="14"/>
    </row>
    <row r="15" ht="87" customHeight="1" spans="1:6">
      <c r="A15" s="13">
        <v>13</v>
      </c>
      <c r="B15" s="15" t="s">
        <v>51</v>
      </c>
      <c r="C15" s="15" t="s">
        <v>52</v>
      </c>
      <c r="D15" s="15" t="s">
        <v>53</v>
      </c>
      <c r="E15" s="16" t="s">
        <v>25</v>
      </c>
      <c r="F15" s="14"/>
    </row>
  </sheetData>
  <mergeCells count="3">
    <mergeCell ref="A10:A11"/>
    <mergeCell ref="B10:B11"/>
    <mergeCell ref="C10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B24" sqref="B24"/>
    </sheetView>
  </sheetViews>
  <sheetFormatPr defaultColWidth="9" defaultRowHeight="13.5" outlineLevelRow="7"/>
  <cols>
    <col min="1" max="1" width="17.25" customWidth="1"/>
    <col min="5" max="5" width="12.5" customWidth="1"/>
    <col min="8" max="9" width="15.625" customWidth="1"/>
  </cols>
  <sheetData>
    <row r="1" spans="1:14">
      <c r="A1" s="1" t="s">
        <v>54</v>
      </c>
    </row>
    <row r="2" ht="27" spans="1:14">
      <c r="A2" s="2" t="s">
        <v>55</v>
      </c>
      <c r="B2" s="3" t="s">
        <v>56</v>
      </c>
      <c r="C2" s="4" t="s">
        <v>57</v>
      </c>
      <c r="D2" s="5" t="s">
        <v>58</v>
      </c>
      <c r="E2" s="5" t="s">
        <v>59</v>
      </c>
      <c r="F2" s="5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  <c r="L2" s="4" t="s">
        <v>66</v>
      </c>
      <c r="M2" s="4" t="s">
        <v>67</v>
      </c>
      <c r="N2" s="3" t="s">
        <v>68</v>
      </c>
    </row>
    <row r="3" ht="33" customHeight="1" spans="1:14">
      <c r="A3" s="6" t="s">
        <v>69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7">
        <v>13470778558</v>
      </c>
      <c r="H3" s="6" t="s">
        <v>75</v>
      </c>
      <c r="I3" s="8" t="s">
        <v>76</v>
      </c>
      <c r="J3" s="7">
        <v>660.1</v>
      </c>
      <c r="K3" s="6" t="s">
        <v>77</v>
      </c>
      <c r="L3" s="6"/>
      <c r="M3" s="8"/>
      <c r="N3" s="6" t="s">
        <v>78</v>
      </c>
    </row>
    <row r="6" spans="1:14">
      <c r="A6" s="1" t="s">
        <v>79</v>
      </c>
    </row>
    <row r="7" ht="26" customHeight="1" spans="1:14">
      <c r="A7" s="9" t="s">
        <v>57</v>
      </c>
      <c r="B7" s="9" t="s">
        <v>68</v>
      </c>
      <c r="C7" s="9" t="s">
        <v>80</v>
      </c>
      <c r="D7" s="9" t="s">
        <v>79</v>
      </c>
      <c r="E7" s="9" t="s">
        <v>81</v>
      </c>
    </row>
    <row r="8" ht="40.5" spans="1:14">
      <c r="A8" s="10" t="s">
        <v>82</v>
      </c>
      <c r="B8" s="10" t="s">
        <v>83</v>
      </c>
      <c r="C8" s="10" t="s">
        <v>84</v>
      </c>
      <c r="D8" s="10" t="s">
        <v>85</v>
      </c>
      <c r="E8" s="10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需求汇总表</vt:lpstr>
      <vt:lpstr>自动开票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Ella</cp:lastModifiedBy>
  <dcterms:created xsi:type="dcterms:W3CDTF">2026-09-02T06:54:00Z</dcterms:created>
  <dcterms:modified xsi:type="dcterms:W3CDTF">2026-09-09T03:10:31Z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0438ADB9F4E445A2B5008172A132EB43_13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