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XWork\1688857809349078\Cache\File\2026-09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D6D30F6590A549C49C69BAA57BE7E7F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43625" y="2059940"/>
          <a:ext cx="15678150" cy="2990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270CA51BA6B4224AD676DA694D4F18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3625" y="2914650"/>
          <a:ext cx="15563850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631A535E79F341FCB98E146CAB7383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0" y="1052830"/>
          <a:ext cx="17049750" cy="2133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8685F6197D8D421787953C143A3674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61200" y="95250"/>
          <a:ext cx="8931275" cy="5753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97949EFE00E4C5ABB7D223FB1B9828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34475" y="1384300"/>
          <a:ext cx="10477500" cy="412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16920F47C314146A0C797A348CCF9D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496925" y="1384300"/>
          <a:ext cx="10820400" cy="531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8DC71AD4ADB43A3A2F596D6D6846D1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67925" y="3670935"/>
          <a:ext cx="16097250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A93278159C14BE1B3236040D73E07F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67925" y="4355465"/>
          <a:ext cx="16335375" cy="3267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250024159A04194B1C25C469F3495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067925" y="5250815"/>
          <a:ext cx="15887700" cy="2324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01909B6796E454AA8DFC4862C36AA2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258425" y="5641975"/>
          <a:ext cx="16211550" cy="410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44B350C2F93416F84E913B79511728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620875" y="5641975"/>
          <a:ext cx="14239875" cy="5172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6507BD397F1445E0898680E958E0640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258425" y="4979670"/>
          <a:ext cx="8477250" cy="3495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3F79D7A0FB3747E1ACF7DFF56D51253C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258425" y="7459980"/>
          <a:ext cx="11506200" cy="5800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7584520F4944D87AA64B9AE104BAE8F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258425" y="5819775"/>
          <a:ext cx="15459075" cy="3524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<sst xmlns="http://schemas.openxmlformats.org/spreadsheetml/2006/main" count="40" uniqueCount="37">
  <si>
    <t>板块</t>
  </si>
  <si>
    <t>描述</t>
  </si>
  <si>
    <t>页面截图</t>
  </si>
  <si>
    <t>报表-资金占用</t>
  </si>
  <si>
    <t>1.增加一列业务员部门数据，再增加一个客户代码，部门的筛选键；
2.系统的最后应结款时间，如果费用类型是海运费和运费的用 到货时间，关税和关税手续费用的是对应应付的加收时间，其他的用创建时间和实际计算账期来进行计算，新增一列实际计算账期，月结+30以上（如：月结+60，到港结......，不限)的账期改成月结+30，其他的正常取原账期；
3.新增一列资金占用费用，公式：核销金额*资金占用时间/360*4%，超60天以内（含60天）的是*4%，超60以上将全部的*8%（不含60天），客户简称含德邦（包括深圳DP）两字的分段算&lt;=60的*4%，&gt;60的*8%；这个功能只对超期大于30天的，并且金额大于0的进行计算，其他情况等于0     PS：同一个费用类型的核销金额加起来等于0的也不用计算（就是只要系统应收明细的最新部分，之前覆盖追加使金额去掉的不要）</t>
  </si>
  <si>
    <t>新建报表：业务员回款率情况表</t>
  </si>
  <si>
    <t>上面的查询筛选框：年份；业务员；业务员部门</t>
  </si>
  <si>
    <t>离职人员报表（客户表+应收表）</t>
  </si>
  <si>
    <t>筛选键，业务员，业务员部门，到货时间，客户简称</t>
  </si>
  <si>
    <t>提货管理</t>
  </si>
  <si>
    <t>1.区域的准确识别问题，详细地址是东阳区域的但是提货区域识别为因为市区的，如图所示；
2.东阳近区域和东阳六石当天取件的算一个东阳近区域，如图所示，司机改成同一个人；
3.客户名称是那雲商貿费直接减半</t>
  </si>
  <si>
    <t>业务数据统计-修改运费优惠</t>
  </si>
  <si>
    <t>需要加销售产品和系统比重两个字段，以及直接匹配比重优惠不需要下拉框选择</t>
  </si>
  <si>
    <t>业务数据统计-修改运费折扣</t>
  </si>
  <si>
    <t>默认勾选调整到应用于业务员成本；已经有运费折扣的运单不能追加</t>
  </si>
  <si>
    <t>修改运费优惠和运费折扣功能，只能导入一次，不能进行第二次进行覆盖修改</t>
  </si>
  <si>
    <t>业务数据统计</t>
  </si>
  <si>
    <t>新增单个修改出货重按钮</t>
  </si>
  <si>
    <t>业务数据统计缺少整柜运单下单的部分数据：配送方式、件数、重量</t>
  </si>
  <si>
    <t>业务数据统计-取消合并计费</t>
  </si>
  <si>
    <t>合并计费之后，有费用核销就取消不了了，合并计费修改成本和核销无关</t>
  </si>
  <si>
    <t>报表-轨迹</t>
  </si>
  <si>
    <t>轨迹报表里没有整柜运单管理的数据；不能拿多个运单号一起查询；增加字段</t>
  </si>
  <si>
    <t>报表-应收、成本、应付</t>
  </si>
  <si>
    <t>不支持多单号查询，1千个单号都查不出来</t>
  </si>
  <si>
    <t>海派头程预估板块</t>
  </si>
  <si>
    <t>开发中</t>
  </si>
  <si>
    <t>海外仓预估表</t>
  </si>
  <si>
    <t>待开发</t>
  </si>
  <si>
    <t>看板</t>
  </si>
  <si>
    <t>数据播报</t>
  </si>
  <si>
    <t>经营分析看板--营销</t>
  </si>
  <si>
    <t>查验报表</t>
  </si>
  <si>
    <t>代理账单</t>
  </si>
  <si>
    <t>常规费用做映射；不同格式账单能批量处理；</t>
  </si>
  <si>
    <t>一件代发</t>
  </si>
  <si>
    <t>一件代发数据与领星系统打通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</si>
</sst>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宋体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B19" sqref="B19"/>
    </sheetView>
  </sheetViews>
  <sheetFormatPr defaultColWidth="9" defaultRowHeight="13.5" outlineLevelCol="4"/>
  <cols>
    <col min="1" max="1" width="27.25" customWidth="1"/>
    <col min="2" max="2" width="107.375" customWidth="1"/>
    <col min="3" max="3" width="57.25" customWidth="1"/>
    <col min="4" max="4" width="29.75" customWidth="1"/>
    <col min="5" max="5" width="26.625" customWidth="1"/>
  </cols>
  <sheetData>
    <row r="1" ht="16.5" spans="1:5">
      <c r="A1" s="1" t="s">
        <v>0</v>
      </c>
      <c r="B1" s="1" t="s">
        <v>1</v>
      </c>
      <c r="C1" s="1" t="s">
        <v>2</v>
      </c>
      <c r="D1" s="2"/>
      <c r="E1" s="3"/>
    </row>
    <row r="2" ht="99" spans="1:5">
      <c r="A2" s="4" t="s">
        <v>3</v>
      </c>
      <c r="B2" s="5" t="s">
        <v>4</v>
      </c>
      <c r="C2" t="str">
        <f>_xlfn.DISPIMG("ID_D6D30F6590A549C49C69BAA57BE7E7F7",1)</f>
        <v>=DISPIMG("ID_D6D30F6590A549C49C69BAA57BE7E7F7",1)</v>
      </c>
      <c r="D2" s="2"/>
    </row>
    <row r="3" ht="25.2" spans="1:5">
      <c r="A3" s="4" t="s">
        <v>5</v>
      </c>
      <c r="B3" s="2" t="s">
        <v>6</v>
      </c>
      <c r="C3" t="str">
        <f>_xlfn.DISPIMG("ID_6270CA51BA6B4224AD676DA694D4F181",1)</f>
        <v>=DISPIMG("ID_6270CA51BA6B4224AD676DA694D4F181",1)</v>
      </c>
      <c r="D3" s="2"/>
    </row>
    <row r="4" ht="41" customHeight="1" spans="1:5">
      <c r="A4" s="6" t="s">
        <v>7</v>
      </c>
      <c r="B4" s="2" t="s">
        <v>8</v>
      </c>
      <c r="C4" t="str">
        <f>_xlfn.DISPIMG("ID_B97949EFE00E4C5ABB7D223FB1B9828D",1)</f>
        <v>=DISPIMG("ID_B97949EFE00E4C5ABB7D223FB1B9828D",1)</v>
      </c>
      <c r="D4" s="2" t="str">
        <f>_xlfn.DISPIMG("ID_116920F47C314146A0C797A348CCF9DD",1)</f>
        <v>=DISPIMG("ID_116920F47C314146A0C797A348CCF9DD",1)</v>
      </c>
    </row>
    <row r="5" ht="59" customHeight="1" spans="1:5">
      <c r="A5" s="7" t="s">
        <v>9</v>
      </c>
      <c r="B5" s="5" t="s">
        <v>10</v>
      </c>
      <c r="C5" t="str">
        <f>_xlfn.DISPIMG("ID_8685F6197D8D421787953C143A367457",1)</f>
        <v>=DISPIMG("ID_8685F6197D8D421787953C143A367457",1)</v>
      </c>
      <c r="D5" t="str">
        <f>_xlfn.DISPIMG("ID_631A535E79F341FCB98E146CAB738368",1)</f>
        <v>=DISPIMG("ID_631A535E79F341FCB98E146CAB738368",1)</v>
      </c>
    </row>
    <row r="6" ht="53.9" spans="1:5">
      <c r="A6" s="7" t="s">
        <v>11</v>
      </c>
      <c r="B6" t="s">
        <v>12</v>
      </c>
      <c r="C6" t="str">
        <f>_xlfn.DISPIMG("ID_C8DC71AD4ADB43A3A2F596D6D6846D1E",1)</f>
        <v>=DISPIMG("ID_C8DC71AD4ADB43A3A2F596D6D6846D1E",1)</v>
      </c>
    </row>
    <row r="7" ht="70.5" spans="1:5">
      <c r="A7" s="7" t="s">
        <v>13</v>
      </c>
      <c r="B7" t="s">
        <v>14</v>
      </c>
      <c r="C7" t="str">
        <f>_xlfn.DISPIMG("ID_BA93278159C14BE1B3236040D73E07F6",1)</f>
        <v>=DISPIMG("ID_BA93278159C14BE1B3236040D73E07F6",1)</v>
      </c>
    </row>
    <row r="8" ht="41" customHeight="1" spans="1:5">
      <c r="B8" s="8" t="s">
        <v>15</v>
      </c>
      <c r="C8" t="str">
        <f>_xlfn.DISPIMG("ID_6507BD397F1445E0898680E958E0640F",1)</f>
        <v>=DISPIMG("ID_6507BD397F1445E0898680E958E0640F",1)</v>
      </c>
    </row>
    <row r="9" ht="52.15" spans="1:5">
      <c r="A9" t="s">
        <v>16</v>
      </c>
      <c r="B9" t="s">
        <v>17</v>
      </c>
      <c r="C9" t="str">
        <f>_xlfn.DISPIMG("ID_0250024159A04194B1C25C469F349533",1)</f>
        <v>=DISPIMG("ID_0250024159A04194B1C25C469F349533",1)</v>
      </c>
    </row>
    <row r="10" ht="80" spans="1:5">
      <c r="A10" t="s">
        <v>16</v>
      </c>
      <c r="B10" s="8" t="s">
        <v>18</v>
      </c>
      <c r="C10" s="8" t="str">
        <f>_xlfn.DISPIMG("ID_67584520F4944D87AA64B9AE104BAE8F",1)</f>
        <v>=DISPIMG("ID_67584520F4944D87AA64B9AE104BAE8F",1)</v>
      </c>
    </row>
    <row r="11" spans="1:5">
      <c r="A11" t="s">
        <v>19</v>
      </c>
      <c r="B11" s="8" t="s">
        <v>20</v>
      </c>
      <c r="C11" s="8"/>
    </row>
    <row r="12" ht="88.65" spans="1:5">
      <c r="A12" t="s">
        <v>21</v>
      </c>
      <c r="B12" t="s">
        <v>22</v>
      </c>
      <c r="C12" t="str">
        <f>_xlfn.DISPIMG("ID_401909B6796E454AA8DFC4862C36AA2E",1)</f>
        <v>=DISPIMG("ID_401909B6796E454AA8DFC4862C36AA2E",1)</v>
      </c>
      <c r="D12" t="str">
        <f>_xlfn.DISPIMG("ID_D44B350C2F93416F84E913B795117280",1)</f>
        <v>=DISPIMG("ID_D44B350C2F93416F84E913B795117280",1)</v>
      </c>
    </row>
    <row r="13" ht="48" customHeight="1" spans="1:5">
      <c r="A13" t="s">
        <v>23</v>
      </c>
      <c r="B13" t="s">
        <v>24</v>
      </c>
      <c r="C13" t="str">
        <f>_xlfn.DISPIMG("ID_3F79D7A0FB3747E1ACF7DFF56D51253C",1)</f>
        <v>=DISPIMG("ID_3F79D7A0FB3747E1ACF7DFF56D51253C",1)</v>
      </c>
    </row>
    <row r="14" spans="1:5">
      <c r="A14" s="7" t="s">
        <v>25</v>
      </c>
      <c r="B14" t="s">
        <v>26</v>
      </c>
    </row>
    <row r="15" spans="1:5">
      <c r="A15" s="7" t="s">
        <v>27</v>
      </c>
      <c r="B15" t="s">
        <v>28</v>
      </c>
    </row>
    <row r="16" spans="1:5">
      <c r="A16" t="s">
        <v>29</v>
      </c>
      <c r="B16" t="s">
        <v>30</v>
      </c>
    </row>
    <row r="17" spans="1:2">
      <c r="A17" t="s">
        <v>29</v>
      </c>
      <c r="B17" t="s">
        <v>31</v>
      </c>
    </row>
    <row r="18" spans="1:2">
      <c r="A18" t="s">
        <v>29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</sheetData>
  <conditionalFormatting sqref="C5">
    <cfRule type="duplicateValues" dxfId="0" priority="2"/>
  </conditionalFormatting>
  <conditionalFormatting sqref="D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Ella</cp:lastModifiedBy>
  <dcterms:created xsi:type="dcterms:W3CDTF">2026-04-11T06:49:00Z</dcterms:created>
  <dcterms:modified xsi:type="dcterms:W3CDTF">2026-09-09T03:06:57Z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A3366A1C431B4355833272A54583C948_13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